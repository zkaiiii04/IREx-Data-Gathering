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_Lis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B_PrjGeneralInfo" sheetId="3" state="visible" r:id="rId3"/>
    <sheet xmlns:r="http://schemas.openxmlformats.org/officeDocument/2006/relationships" name="Gantt Chart" sheetId="4" state="visible" r:id="rId4"/>
    <sheet xmlns:r="http://schemas.openxmlformats.org/officeDocument/2006/relationships" name="DB_PrjGanttChart" sheetId="5" state="hidden" r:id="rId5"/>
    <sheet xmlns:r="http://schemas.openxmlformats.org/officeDocument/2006/relationships" name="DB_ManpowerRate" sheetId="6" state="visible" r:id="rId6"/>
    <sheet xmlns:r="http://schemas.openxmlformats.org/officeDocument/2006/relationships" name="DB_RA_Distrib" sheetId="7" state="visible" r:id="rId7"/>
    <sheet xmlns:r="http://schemas.openxmlformats.org/officeDocument/2006/relationships" name="DB_Education" sheetId="8" state="visible" r:id="rId8"/>
    <sheet xmlns:r="http://schemas.openxmlformats.org/officeDocument/2006/relationships" name="Impact Factor-2026" sheetId="9" state="visible" r:id="rId9"/>
    <sheet xmlns:r="http://schemas.openxmlformats.org/officeDocument/2006/relationships" name="DB_Poster&amp; Oral Presentation" sheetId="10" state="visible" r:id="rId10"/>
    <sheet xmlns:r="http://schemas.openxmlformats.org/officeDocument/2006/relationships" name="DB_Publications" sheetId="11" state="visible" r:id="rId11"/>
    <sheet xmlns:r="http://schemas.openxmlformats.org/officeDocument/2006/relationships" name="DB_Media" sheetId="12" state="visible" r:id="rId12"/>
    <sheet xmlns:r="http://schemas.openxmlformats.org/officeDocument/2006/relationships" name="DB_Talent Develop" sheetId="13" state="visible" r:id="rId13"/>
    <sheet xmlns:r="http://schemas.openxmlformats.org/officeDocument/2006/relationships" name="DB_RIE Namelist" sheetId="14" state="visible" r:id="rId14"/>
    <sheet xmlns:r="http://schemas.openxmlformats.org/officeDocument/2006/relationships" name="Visualisation-AA" sheetId="15" state="visible" r:id="rId15"/>
  </sheets>
  <definedNames>
    <definedName name="list_PrjStatus">tbllist_PrjStatus[Project Status]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\ mmm\ yy"/>
    <numFmt numFmtId="166" formatCode="&quot;$&quot;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bllist_PrjStatus" displayName="tbllist_PrjStatus" ref="H1:H18" headerRowCount="1">
  <autoFilter ref="H1:H18"/>
  <tableColumns count="1">
    <tableColumn id="8" name="Project Status"/>
  </tableColumns>
  <tableStyleInfo name="TableStyleMedium2" showRowStripes="1"/>
</table>
</file>

<file path=xl/tables/table2.xml><?xml version="1.0" encoding="utf-8"?>
<table xmlns="http://schemas.openxmlformats.org/spreadsheetml/2006/main" id="2" name="tbl_PrjGeneralInfo" displayName="tbl_PrjGeneralInfo" ref="A1:AO10" headerRowCount="1">
  <autoFilter ref="A1:AO10"/>
  <tableColumns count="41">
    <tableColumn id="1" name="Grant Ref No"/>
    <tableColumn id="2" name="Project Name"/>
    <tableColumn id="3" name="Project Alias"/>
    <tableColumn id="4" name="Grant Submitted Date"/>
    <tableColumn id="5" name="Grant Approved Date"/>
    <tableColumn id="6" name="Category"/>
    <tableColumn id="7" name="Description"/>
    <tableColumn id="8" name="Grant / Collaborator Partners"/>
    <tableColumn id="9" name="Grant Group"/>
    <tableColumn id="10" name="Grant Type"/>
    <tableColumn id="11" name="Project Name &amp; Grant/Partners"/>
    <tableColumn id="12" name="PI"/>
    <tableColumn id="13" name="Co-I/Collaborator"/>
    <tableColumn id="14" name="PI/Co-I/Collaborator"/>
    <tableColumn id="15" name="Admin/Ops Support"/>
    <tableColumn id="16" name="RA Support"/>
    <tableColumn id="17" name="LOA Start Date"/>
    <tableColumn id="18" name="LOA End Date"/>
    <tableColumn id="19" name="Tracking Timestamp (from 2021 onwards)"/>
    <tableColumn id="20" name="LOA Start &amp; End Date"/>
    <tableColumn id="21" name="Grant Amount"/>
    <tableColumn id="22" name="Grant Amt (Awarded to TTSH)"/>
    <tableColumn id="23" name="Grant Amt &amp; Awarded to TTSH"/>
    <tableColumn id="24" name="Indirect Cost (Credited)"/>
    <tableColumn id="25" name="Status"/>
    <tableColumn id="26" name="Progress Update"/>
    <tableColumn id="27" name="Progress Update (Archive)"/>
    <tableColumn id="28" name="DSRB Ref No"/>
    <tableColumn id="29" name="DSRB Submitted Date"/>
    <tableColumn id="30" name="DSRB Approved Date"/>
    <tableColumn id="31" name="Assigned Cost Centre (based On IO Code)"/>
    <tableColumn id="32" name="Recruitment Target"/>
    <tableColumn id="33" name="PA/RCA effective date "/>
    <tableColumn id="34" name="PA/RCA end date "/>
    <tableColumn id="35" name="IO Code Group"/>
    <tableColumn id="36" name="IO Code"/>
    <tableColumn id="37" name="Manpower"/>
    <tableColumn id="38" name="Budget"/>
    <tableColumn id="39" name="Utilisation"/>
    <tableColumn id="40" name="Commitment"/>
    <tableColumn id="41" name="Balance"/>
  </tableColumns>
  <tableStyleInfo name="TableStyleMedium2" showRowStripes="1"/>
</table>
</file>

<file path=xl/tables/table3.xml><?xml version="1.0" encoding="utf-8"?>
<table xmlns="http://schemas.openxmlformats.org/spreadsheetml/2006/main" id="3" name="tbl_Education" displayName="tbl_Education" ref="B1:M7" headerRowCount="1">
  <autoFilter ref="B1:M7"/>
  <tableColumns count="12">
    <tableColumn id="2" name="Date/Year/Period"/>
    <tableColumn id="3" name="Year"/>
    <tableColumn id="4" name="Type of Material/Event"/>
    <tableColumn id="5" name="Area(s) of Focus (Professional vs Patients/Care Givers/General Public)"/>
    <tableColumn id="6" name="Title of Course/Educational Materials/Educational Events/Outreach"/>
    <tableColumn id="7" name="Family Group"/>
    <tableColumn id="8" name="Trainer(s)/Speaker(s) "/>
    <tableColumn id="9" name="Collaboration Partner(s), if any"/>
    <tableColumn id="10" name="Number of Participants, if applicable"/>
    <tableColumn id="11" name="Local/Overseas"/>
    <tableColumn id="12" name="Country (if overseas)"/>
    <tableColumn id="13" name="Organisers"/>
  </tableColumns>
  <tableStyleInfo name="TableStyleMedium2" showRowStripes="1"/>
</table>
</file>

<file path=xl/tables/table4.xml><?xml version="1.0" encoding="utf-8"?>
<table xmlns="http://schemas.openxmlformats.org/spreadsheetml/2006/main" id="4" name="tbl_ImpactFactor_2026" displayName="tbl_ImpactFactor_2026" ref="A1:C2" headerRowCount="1">
  <autoFilter ref="A1:C2"/>
  <tableColumns count="3">
    <tableColumn id="1" name="Journal Name"/>
    <tableColumn id="2" name="Abbreviated Journal"/>
    <tableColumn id="3" name="Percentile"/>
  </tableColumns>
  <tableStyleInfo name="TableStyleMedium2" showRowStripes="1"/>
</table>
</file>

<file path=xl/tables/table5.xml><?xml version="1.0" encoding="utf-8"?>
<table xmlns="http://schemas.openxmlformats.org/spreadsheetml/2006/main" id="5" name="tbl_PosterOralPresentation" displayName="tbl_PosterOralPresentation" ref="B1:M6" headerRowCount="1">
  <autoFilter ref="B1:M6"/>
  <tableColumns count="12">
    <tableColumn id="2" name="No."/>
    <tableColumn id="3" name="Title of Presentation/Topic_x000a__x000a__x000a_"/>
    <tableColumn id="4" name="Full Name "/>
    <tableColumn id="5" name="Status"/>
    <tableColumn id="6" name="Date of Presentation"/>
    <tableColumn id="7" name="Start Date of Event"/>
    <tableColumn id="8" name="End Date of Event"/>
    <tableColumn id="9" name="Title of  Related Research, Innovation Projects /Programmes"/>
    <tableColumn id="10" name="Name of Conference/ Symposium/ Seminar"/>
    <tableColumn id="11" name="Name of Organisation"/>
    <tableColumn id="12" name="Country where the conference/sympoisum/Seminar was held"/>
    <tableColumn id="13" name="Other Remarks"/>
  </tableColumns>
  <tableStyleInfo name="TableStyleMedium2" showRowStripes="1"/>
</table>
</file>

<file path=xl/tables/table6.xml><?xml version="1.0" encoding="utf-8"?>
<table xmlns="http://schemas.openxmlformats.org/spreadsheetml/2006/main" id="6" name="tbl_Publication" displayName="tbl_Publication" ref="B3:S10" headerRowCount="1">
  <autoFilter ref="B3:S10"/>
  <tableColumns count="18">
    <tableColumn id="2" name="No."/>
    <tableColumn id="3" name="Title of Article"/>
    <tableColumn id="4" name="1st Author Name"/>
    <tableColumn id="5" name="TTSH Contributor "/>
    <tableColumn id="6" name="Status"/>
    <tableColumn id="7" name="Date of Publication_x000a__x000a_"/>
    <tableColumn id="8" name="pmid"/>
    <tableColumn id="9" name="Journal Citation"/>
    <tableColumn id="10" name="Associated Research/Innovation Project (If applicable)"/>
    <tableColumn id="11" name="Full Author Listing (Optional)"/>
    <tableColumn id="12" name="DOI"/>
    <tableColumn id="13" name="Category of Article"/>
    <tableColumn id="14" name="Other Remarks"/>
    <tableColumn id="15" name="Journal Name"/>
    <tableColumn id="16" name="Journal Category &amp; JIF Percentile Listing _x000a_(2025)"/>
    <tableColumn id="17" name="JIF Percentile _x000a_(2025)"/>
    <tableColumn id="18" name="Journal Category &amp; JIF Percentile Listing _x000a_(2026)"/>
    <tableColumn id="19" name="JIF Percentile _x000a_(2026)"/>
  </tableColumns>
  <tableStyleInfo name="TableStyleMedium2" showRowStripes="1"/>
</table>
</file>

<file path=xl/tables/table7.xml><?xml version="1.0" encoding="utf-8"?>
<table xmlns="http://schemas.openxmlformats.org/spreadsheetml/2006/main" id="7" name="tbl_TalentDevelop" displayName="tbl_TalentDevelop" ref="B1:J5" headerRowCount="1">
  <autoFilter ref="B1:J5"/>
  <tableColumns count="9">
    <tableColumn id="2" name="Name"/>
    <tableColumn id="3" name="Family Group"/>
    <tableColumn id="4" name="Award Description"/>
    <tableColumn id="5" name="Project Name"/>
    <tableColumn id="6" name="LOA Start Date"/>
    <tableColumn id="7" name="LOA End Date"/>
    <tableColumn id="8" name="Grant Amount"/>
    <tableColumn id="9" name="Year"/>
    <tableColumn id="10" name="Categ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H18"/>
  <sheetViews>
    <sheetView workbookViewId="0">
      <selection activeCell="A1" sqref="A1"/>
    </sheetView>
  </sheetViews>
  <sheetFormatPr baseColWidth="8" defaultRowHeight="15"/>
  <sheetData>
    <row r="1">
      <c r="H1" t="inlineStr">
        <is>
          <t>Project Status</t>
        </is>
      </c>
    </row>
    <row r="2">
      <c r="H2" t="inlineStr">
        <is>
          <t>Presented</t>
        </is>
      </c>
    </row>
    <row r="3">
      <c r="H3" t="inlineStr">
        <is>
          <t>Published</t>
        </is>
      </c>
    </row>
    <row r="4">
      <c r="H4" t="inlineStr">
        <is>
          <t>Pending</t>
        </is>
      </c>
    </row>
    <row r="5">
      <c r="H5" t="inlineStr">
        <is>
          <t>Applied</t>
        </is>
      </c>
    </row>
    <row r="6">
      <c r="H6" t="inlineStr">
        <is>
          <t>Under Review</t>
        </is>
      </c>
    </row>
    <row r="7">
      <c r="H7" t="inlineStr">
        <is>
          <t>Awarded</t>
        </is>
      </c>
    </row>
    <row r="8">
      <c r="H8" t="inlineStr">
        <is>
          <t>In Progress</t>
        </is>
      </c>
    </row>
    <row r="9">
      <c r="H9" t="inlineStr">
        <is>
          <t>Completed</t>
        </is>
      </c>
    </row>
    <row r="10">
      <c r="H10" t="inlineStr">
        <is>
          <t>Incomplete</t>
        </is>
      </c>
    </row>
    <row r="11">
      <c r="H11" t="inlineStr">
        <is>
          <t>Dropped</t>
        </is>
      </c>
    </row>
    <row r="12">
      <c r="H12" t="inlineStr">
        <is>
          <t>Applied (Oversight)</t>
        </is>
      </c>
    </row>
    <row r="13">
      <c r="H13" t="inlineStr">
        <is>
          <t>Under Review (Oversight)</t>
        </is>
      </c>
    </row>
    <row r="14">
      <c r="H14" t="inlineStr">
        <is>
          <t>Awarded (Oversight)</t>
        </is>
      </c>
    </row>
    <row r="15">
      <c r="H15" t="inlineStr">
        <is>
          <t>In Progress (Oversight)</t>
        </is>
      </c>
    </row>
    <row r="16">
      <c r="H16" t="inlineStr">
        <is>
          <t>Completed (Oversight)</t>
        </is>
      </c>
    </row>
    <row r="17">
      <c r="H17" t="inlineStr">
        <is>
          <t>Incompleted (Oversight)</t>
        </is>
      </c>
    </row>
    <row r="18">
      <c r="H18" t="inlineStr">
        <is>
          <t>Dropped (Oversight)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Team dashboard (team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Ref No</t>
        </is>
      </c>
      <c r="B1" t="inlineStr">
        <is>
          <t>Project Name</t>
        </is>
      </c>
      <c r="C1" t="inlineStr">
        <is>
          <t>Project Alias</t>
        </is>
      </c>
      <c r="D1" t="inlineStr">
        <is>
          <t>Grant Submitted Date</t>
        </is>
      </c>
      <c r="E1" t="inlineStr">
        <is>
          <t>Grant Approved Date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Grant / Collaborator Partners</t>
        </is>
      </c>
      <c r="I1" t="inlineStr">
        <is>
          <t>Grant Group</t>
        </is>
      </c>
      <c r="J1" t="inlineStr">
        <is>
          <t>Grant Type</t>
        </is>
      </c>
      <c r="K1" t="inlineStr">
        <is>
          <t>Project Name &amp; Grant/Partners</t>
        </is>
      </c>
      <c r="L1" t="inlineStr">
        <is>
          <t>PI</t>
        </is>
      </c>
      <c r="M1" t="inlineStr">
        <is>
          <t>Co-I/Collaborator</t>
        </is>
      </c>
      <c r="N1" t="inlineStr">
        <is>
          <t>PI/Co-I/Collaborator</t>
        </is>
      </c>
      <c r="O1" t="inlineStr">
        <is>
          <t>Admin/Ops Support</t>
        </is>
      </c>
      <c r="P1" t="inlineStr">
        <is>
          <t>RA Support</t>
        </is>
      </c>
      <c r="Q1" t="inlineStr">
        <is>
          <t>LOA Start Date</t>
        </is>
      </c>
      <c r="R1" t="inlineStr">
        <is>
          <t>LOA End Date</t>
        </is>
      </c>
      <c r="S1" t="inlineStr">
        <is>
          <t>Tracking Timestamp (from 2021 onwards)</t>
        </is>
      </c>
      <c r="T1" t="inlineStr">
        <is>
          <t>LOA Start &amp; End Date</t>
        </is>
      </c>
      <c r="U1" t="inlineStr">
        <is>
          <t>Grant Amount</t>
        </is>
      </c>
      <c r="V1" t="inlineStr">
        <is>
          <t>Grant Amt (Awarded to TTSH)</t>
        </is>
      </c>
      <c r="W1" t="inlineStr">
        <is>
          <t>Grant Amt &amp; Awarded to TTSH</t>
        </is>
      </c>
      <c r="X1" t="inlineStr">
        <is>
          <t>Indirect Cost (Credited)</t>
        </is>
      </c>
      <c r="Y1" t="inlineStr">
        <is>
          <t>Status</t>
        </is>
      </c>
      <c r="Z1" t="inlineStr">
        <is>
          <t>Progress Update</t>
        </is>
      </c>
      <c r="AA1" t="inlineStr">
        <is>
          <t>Progress Update (Archive)</t>
        </is>
      </c>
      <c r="AB1" t="inlineStr">
        <is>
          <t>DSRB Ref No</t>
        </is>
      </c>
      <c r="AC1" t="inlineStr">
        <is>
          <t>DSRB Submitted Date</t>
        </is>
      </c>
      <c r="AD1" t="inlineStr">
        <is>
          <t>DSRB Approved Date</t>
        </is>
      </c>
      <c r="AE1" t="inlineStr">
        <is>
          <t>Assigned Cost Centre (based On IO Code)</t>
        </is>
      </c>
      <c r="AF1" t="inlineStr">
        <is>
          <t>Recruitment Target</t>
        </is>
      </c>
      <c r="AG1" t="inlineStr">
        <is>
          <t xml:space="preserve">PA/RCA effective date </t>
        </is>
      </c>
      <c r="AH1" t="inlineStr">
        <is>
          <t xml:space="preserve">PA/RCA end date </t>
        </is>
      </c>
      <c r="AI1" t="inlineStr">
        <is>
          <t>IO Code Group</t>
        </is>
      </c>
      <c r="AJ1" t="inlineStr">
        <is>
          <t>IO Code</t>
        </is>
      </c>
      <c r="AK1" t="inlineStr">
        <is>
          <t>Manpower</t>
        </is>
      </c>
      <c r="AL1" t="inlineStr">
        <is>
          <t>Budget</t>
        </is>
      </c>
      <c r="AM1" t="inlineStr">
        <is>
          <t>Utilisation</t>
        </is>
      </c>
      <c r="AN1" t="inlineStr">
        <is>
          <t>Commitment</t>
        </is>
      </c>
      <c r="AO1" t="inlineStr">
        <is>
          <t>Balance</t>
        </is>
      </c>
    </row>
    <row r="2">
      <c r="A2" t="inlineStr">
        <is>
          <t>GRT-001</t>
        </is>
      </c>
      <c r="B2" t="inlineStr">
        <is>
          <t>Robot-assisted gait study</t>
        </is>
      </c>
      <c r="C2" t="inlineStr">
        <is>
          <t>RoboGait</t>
        </is>
      </c>
      <c r="F2" t="inlineStr">
        <is>
          <t>Research</t>
        </is>
      </c>
      <c r="G2" t="inlineStr">
        <is>
          <t>Invented project for tests</t>
        </is>
      </c>
      <c r="H2" t="inlineStr">
        <is>
          <t>Test Fund</t>
        </is>
      </c>
      <c r="I2" t="inlineStr">
        <is>
          <t>Test Group A</t>
        </is>
      </c>
      <c r="J2" t="inlineStr">
        <is>
          <t>Extramural</t>
        </is>
      </c>
      <c r="K2" t="inlineStr">
        <is>
          <t>RoboGait
(Test Fund)</t>
        </is>
      </c>
      <c r="L2" t="inlineStr">
        <is>
          <t>Tan Wei Ling</t>
        </is>
      </c>
      <c r="M2" t="inlineStr">
        <is>
          <t>Goh Mei Xin</t>
        </is>
      </c>
      <c r="N2" t="inlineStr">
        <is>
          <t>Tan Wei Ling
Goh Mei Xin</t>
        </is>
      </c>
      <c r="O2" t="inlineStr">
        <is>
          <t>Admin Person</t>
        </is>
      </c>
      <c r="P2" t="inlineStr">
        <is>
          <t>RA Person</t>
        </is>
      </c>
      <c r="Q2" s="1" t="n">
        <v>45017</v>
      </c>
      <c r="R2" s="1" t="n">
        <v>46112</v>
      </c>
      <c r="U2" s="2" t="n">
        <v>500000</v>
      </c>
      <c r="V2" s="2" t="n">
        <v>300000</v>
      </c>
      <c r="X2" t="inlineStr">
        <is>
          <t>10%</t>
        </is>
      </c>
      <c r="Y2" t="inlineStr">
        <is>
          <t>In Progress</t>
        </is>
      </c>
      <c r="Z2" t="inlineStr">
        <is>
          <t>On track</t>
        </is>
      </c>
      <c r="AA2" t="inlineStr">
        <is>
          <t>-</t>
        </is>
      </c>
      <c r="AE2" t="inlineStr">
        <is>
          <t>CC-TEST</t>
        </is>
      </c>
      <c r="AI2" t="inlineStr">
        <is>
          <t>IOG-TEST</t>
        </is>
      </c>
      <c r="AJ2" t="inlineStr">
        <is>
          <t>IO-TEST-GRT-001</t>
        </is>
      </c>
      <c r="AK2" t="inlineStr">
        <is>
          <t>1 RA</t>
        </is>
      </c>
      <c r="AL2" t="inlineStr">
        <is>
          <t>100000</t>
        </is>
      </c>
      <c r="AM2" t="inlineStr">
        <is>
          <t>40000</t>
        </is>
      </c>
      <c r="AO2" t="inlineStr">
        <is>
          <t>60000</t>
        </is>
      </c>
    </row>
    <row r="3">
      <c r="A3" t="inlineStr">
        <is>
          <t>GRT-002</t>
        </is>
      </c>
      <c r="B3" t="inlineStr">
        <is>
          <t>Home exercise app</t>
        </is>
      </c>
      <c r="C3" t="inlineStr">
        <is>
          <t>HomeEx</t>
        </is>
      </c>
      <c r="F3" t="inlineStr">
        <is>
          <t>Innovation</t>
        </is>
      </c>
      <c r="G3" t="inlineStr">
        <is>
          <t>Invented project for tests</t>
        </is>
      </c>
      <c r="H3" t="inlineStr">
        <is>
          <t>Test Innovation Fund</t>
        </is>
      </c>
      <c r="I3" t="inlineStr">
        <is>
          <t>Test Group A</t>
        </is>
      </c>
      <c r="J3" t="inlineStr">
        <is>
          <t>Intramural</t>
        </is>
      </c>
      <c r="K3" t="inlineStr">
        <is>
          <t>HomeEx
(Test Innovation Fund)</t>
        </is>
      </c>
      <c r="L3" t="inlineStr">
        <is>
          <t>Goh Mei Xin</t>
        </is>
      </c>
      <c r="N3" t="inlineStr">
        <is>
          <t xml:space="preserve">Goh Mei Xin
</t>
        </is>
      </c>
      <c r="O3" t="inlineStr">
        <is>
          <t>Admin Person</t>
        </is>
      </c>
      <c r="P3" t="inlineStr">
        <is>
          <t>RA Person</t>
        </is>
      </c>
      <c r="Q3" s="1" t="n">
        <v>45809</v>
      </c>
      <c r="R3" s="1" t="n">
        <v>46538</v>
      </c>
      <c r="U3" s="2" t="n">
        <v>80000</v>
      </c>
      <c r="V3" s="2" t="n">
        <v>80000</v>
      </c>
      <c r="X3" t="inlineStr">
        <is>
          <t>10%</t>
        </is>
      </c>
      <c r="Y3" t="inlineStr">
        <is>
          <t>In Progress</t>
        </is>
      </c>
      <c r="Z3" t="inlineStr">
        <is>
          <t>On track</t>
        </is>
      </c>
      <c r="AA3" t="inlineStr">
        <is>
          <t>-</t>
        </is>
      </c>
      <c r="AE3" t="inlineStr">
        <is>
          <t>CC-TEST</t>
        </is>
      </c>
      <c r="AI3" t="inlineStr">
        <is>
          <t>IOG-TEST</t>
        </is>
      </c>
      <c r="AJ3" t="inlineStr">
        <is>
          <t>IO-TEST-GRT-002</t>
        </is>
      </c>
      <c r="AK3" t="inlineStr">
        <is>
          <t>1 RA</t>
        </is>
      </c>
      <c r="AL3" t="inlineStr">
        <is>
          <t>100000</t>
        </is>
      </c>
      <c r="AM3" t="inlineStr">
        <is>
          <t>40000</t>
        </is>
      </c>
      <c r="AO3" t="inlineStr">
        <is>
          <t>60000</t>
        </is>
      </c>
    </row>
    <row r="4">
      <c r="A4" t="inlineStr">
        <is>
          <t>GRT-003</t>
        </is>
      </c>
      <c r="B4" t="inlineStr">
        <is>
          <t>Splint materials comparison</t>
        </is>
      </c>
      <c r="C4" t="inlineStr">
        <is>
          <t>Splints</t>
        </is>
      </c>
      <c r="F4" t="inlineStr">
        <is>
          <t>Research</t>
        </is>
      </c>
      <c r="G4" t="inlineStr">
        <is>
          <t>Invented project for tests</t>
        </is>
      </c>
      <c r="H4" t="inlineStr">
        <is>
          <t>Test Fund</t>
        </is>
      </c>
      <c r="I4" t="inlineStr">
        <is>
          <t>Test Group A</t>
        </is>
      </c>
      <c r="J4" t="inlineStr">
        <is>
          <t>Intramural</t>
        </is>
      </c>
      <c r="K4" t="inlineStr">
        <is>
          <t>Splints
(Test Fund)</t>
        </is>
      </c>
      <c r="L4" t="inlineStr">
        <is>
          <t>Raj Kumar</t>
        </is>
      </c>
      <c r="N4" t="inlineStr">
        <is>
          <t xml:space="preserve">Raj Kumar
</t>
        </is>
      </c>
      <c r="O4" t="inlineStr">
        <is>
          <t>Admin Person</t>
        </is>
      </c>
      <c r="P4" t="inlineStr">
        <is>
          <t>RA Person</t>
        </is>
      </c>
      <c r="Q4" s="1" t="n">
        <v>44197</v>
      </c>
      <c r="R4" s="1" t="n">
        <v>45657</v>
      </c>
      <c r="U4" s="2" t="n">
        <v>20000</v>
      </c>
      <c r="V4" s="2" t="n">
        <v>20000</v>
      </c>
      <c r="X4" t="inlineStr">
        <is>
          <t>10%</t>
        </is>
      </c>
      <c r="Y4" t="inlineStr">
        <is>
          <t>Completed</t>
        </is>
      </c>
      <c r="Z4" t="inlineStr">
        <is>
          <t>On track</t>
        </is>
      </c>
      <c r="AA4" t="inlineStr">
        <is>
          <t>-</t>
        </is>
      </c>
      <c r="AE4" t="inlineStr">
        <is>
          <t>CC-TEST</t>
        </is>
      </c>
      <c r="AI4" t="inlineStr">
        <is>
          <t>IOG-TEST</t>
        </is>
      </c>
      <c r="AJ4" t="inlineStr">
        <is>
          <t>IO-TEST-GRT-003</t>
        </is>
      </c>
      <c r="AK4" t="inlineStr">
        <is>
          <t>1 RA</t>
        </is>
      </c>
      <c r="AL4" t="inlineStr">
        <is>
          <t>100000</t>
        </is>
      </c>
      <c r="AM4" t="inlineStr">
        <is>
          <t>40000</t>
        </is>
      </c>
      <c r="AO4" t="inlineStr">
        <is>
          <t>60000</t>
        </is>
      </c>
    </row>
    <row r="5">
      <c r="A5" t="inlineStr">
        <is>
          <t>GRT-004</t>
        </is>
      </c>
      <c r="B5" t="inlineStr">
        <is>
          <t>Aquatic therapy trial</t>
        </is>
      </c>
      <c r="C5" t="inlineStr">
        <is>
          <t>Aqua</t>
        </is>
      </c>
      <c r="F5" t="inlineStr">
        <is>
          <t>Research</t>
        </is>
      </c>
      <c r="G5" t="inlineStr">
        <is>
          <t>Invented project for tests</t>
        </is>
      </c>
      <c r="H5" t="inlineStr">
        <is>
          <t>Test Fund</t>
        </is>
      </c>
      <c r="I5" t="inlineStr">
        <is>
          <t>Test Group A</t>
        </is>
      </c>
      <c r="J5" t="inlineStr">
        <is>
          <t>Extramural</t>
        </is>
      </c>
      <c r="K5" t="inlineStr">
        <is>
          <t>Aqua
(Test Fund)</t>
        </is>
      </c>
      <c r="L5" t="inlineStr">
        <is>
          <t>Lee Hui Min</t>
        </is>
      </c>
      <c r="N5" t="inlineStr">
        <is>
          <t xml:space="preserve">Lee Hui Min
</t>
        </is>
      </c>
      <c r="O5" t="inlineStr">
        <is>
          <t>Admin Person</t>
        </is>
      </c>
      <c r="P5" t="inlineStr">
        <is>
          <t>RA Person</t>
        </is>
      </c>
      <c r="Q5" s="1" t="n">
        <v>46054</v>
      </c>
      <c r="R5" s="1" t="n">
        <v>46783</v>
      </c>
      <c r="U5" s="2" t="n">
        <v>150000</v>
      </c>
      <c r="V5" s="2" t="n">
        <v>150000</v>
      </c>
      <c r="X5" t="inlineStr">
        <is>
          <t>10%</t>
        </is>
      </c>
      <c r="Y5" t="inlineStr">
        <is>
          <t>Awarded</t>
        </is>
      </c>
      <c r="Z5" t="inlineStr">
        <is>
          <t>On track</t>
        </is>
      </c>
      <c r="AA5" t="inlineStr">
        <is>
          <t>-</t>
        </is>
      </c>
      <c r="AE5" t="inlineStr">
        <is>
          <t>CC-TEST</t>
        </is>
      </c>
      <c r="AI5" t="inlineStr">
        <is>
          <t>IOG-TEST</t>
        </is>
      </c>
      <c r="AJ5" t="inlineStr">
        <is>
          <t>IO-TEST-GRT-004</t>
        </is>
      </c>
      <c r="AK5" t="inlineStr">
        <is>
          <t>1 RA</t>
        </is>
      </c>
      <c r="AL5" t="inlineStr">
        <is>
          <t>100000</t>
        </is>
      </c>
      <c r="AM5" t="inlineStr">
        <is>
          <t>40000</t>
        </is>
      </c>
      <c r="AO5" t="inlineStr">
        <is>
          <t>60000</t>
        </is>
      </c>
    </row>
    <row r="6">
      <c r="A6" t="inlineStr">
        <is>
          <t>GRT-005</t>
        </is>
      </c>
      <c r="B6" t="inlineStr">
        <is>
          <t>Community stroke registry</t>
        </is>
      </c>
      <c r="C6" t="inlineStr">
        <is>
          <t>Registry</t>
        </is>
      </c>
      <c r="F6" t="inlineStr">
        <is>
          <t>LF</t>
        </is>
      </c>
      <c r="G6" t="inlineStr">
        <is>
          <t>Invented project for tests</t>
        </is>
      </c>
      <c r="H6" t="inlineStr">
        <is>
          <t>Test Foundation</t>
        </is>
      </c>
      <c r="I6" t="inlineStr">
        <is>
          <t>Test Group A</t>
        </is>
      </c>
      <c r="J6" t="inlineStr">
        <is>
          <t>Extramural</t>
        </is>
      </c>
      <c r="K6" t="inlineStr">
        <is>
          <t>Registry
(Test Foundation)</t>
        </is>
      </c>
      <c r="L6" t="inlineStr">
        <is>
          <t>Tan Wei Ling</t>
        </is>
      </c>
      <c r="M6" t="inlineStr">
        <is>
          <t>Raj Kumar</t>
        </is>
      </c>
      <c r="N6" t="inlineStr">
        <is>
          <t>Tan Wei Ling
Raj Kumar</t>
        </is>
      </c>
      <c r="O6" t="inlineStr">
        <is>
          <t>Admin Person</t>
        </is>
      </c>
      <c r="P6" t="inlineStr">
        <is>
          <t>RA Person</t>
        </is>
      </c>
      <c r="Q6" s="1" t="n">
        <v>44562</v>
      </c>
      <c r="R6" s="1" t="n"/>
      <c r="U6" s="2" t="n">
        <v>250000</v>
      </c>
      <c r="V6" s="2" t="n">
        <v>250000</v>
      </c>
      <c r="X6" t="inlineStr">
        <is>
          <t>10%</t>
        </is>
      </c>
      <c r="Y6" t="inlineStr">
        <is>
          <t>In Progress</t>
        </is>
      </c>
      <c r="Z6" t="inlineStr">
        <is>
          <t>On track</t>
        </is>
      </c>
      <c r="AA6" t="inlineStr">
        <is>
          <t>-</t>
        </is>
      </c>
      <c r="AE6" t="inlineStr">
        <is>
          <t>CC-TEST</t>
        </is>
      </c>
      <c r="AI6" t="inlineStr">
        <is>
          <t>IOG-TEST</t>
        </is>
      </c>
      <c r="AJ6" t="inlineStr">
        <is>
          <t>IO-TEST-GRT-005</t>
        </is>
      </c>
      <c r="AK6" t="inlineStr">
        <is>
          <t>1 RA</t>
        </is>
      </c>
      <c r="AL6" t="inlineStr">
        <is>
          <t>100000</t>
        </is>
      </c>
      <c r="AM6" t="inlineStr">
        <is>
          <t>40000</t>
        </is>
      </c>
      <c r="AO6" t="inlineStr">
        <is>
          <t>60000</t>
        </is>
      </c>
    </row>
    <row r="7">
      <c r="B7" t="inlineStr">
        <is>
          <t>Exoskeleton feasibility</t>
        </is>
      </c>
      <c r="C7" t="inlineStr">
        <is>
          <t>Exo</t>
        </is>
      </c>
      <c r="F7" t="inlineStr">
        <is>
          <t>Innovation</t>
        </is>
      </c>
      <c r="G7" t="inlineStr">
        <is>
          <t>Invented project for tests</t>
        </is>
      </c>
      <c r="H7" t="inlineStr">
        <is>
          <t>Test Innovation Fund</t>
        </is>
      </c>
      <c r="I7" t="inlineStr">
        <is>
          <t>Test Group A</t>
        </is>
      </c>
      <c r="J7" t="inlineStr">
        <is>
          <t>Intramural</t>
        </is>
      </c>
      <c r="K7" t="inlineStr">
        <is>
          <t>Exo
(Test Innovation Fund)</t>
        </is>
      </c>
      <c r="L7" t="inlineStr">
        <is>
          <t>Raj Kumar</t>
        </is>
      </c>
      <c r="N7" t="inlineStr">
        <is>
          <t xml:space="preserve">Raj Kumar
</t>
        </is>
      </c>
      <c r="O7" t="inlineStr">
        <is>
          <t>Admin Person</t>
        </is>
      </c>
      <c r="P7" t="inlineStr">
        <is>
          <t>RA Person</t>
        </is>
      </c>
      <c r="Q7" s="1" t="n"/>
      <c r="R7" s="1" t="n"/>
      <c r="U7" s="2" t="n">
        <v>60000</v>
      </c>
      <c r="V7" s="2" t="n"/>
      <c r="X7" t="inlineStr">
        <is>
          <t>10%</t>
        </is>
      </c>
      <c r="Y7" t="inlineStr">
        <is>
          <t>Applied</t>
        </is>
      </c>
      <c r="Z7" t="inlineStr">
        <is>
          <t>On track</t>
        </is>
      </c>
      <c r="AA7" t="inlineStr">
        <is>
          <t>-</t>
        </is>
      </c>
      <c r="AE7" t="inlineStr">
        <is>
          <t>CC-TEST</t>
        </is>
      </c>
      <c r="AI7" t="inlineStr">
        <is>
          <t>IOG-TEST</t>
        </is>
      </c>
      <c r="AJ7" t="inlineStr">
        <is>
          <t>IO-TEST-NA</t>
        </is>
      </c>
      <c r="AK7" t="inlineStr">
        <is>
          <t>1 RA</t>
        </is>
      </c>
      <c r="AL7" t="inlineStr">
        <is>
          <t>100000</t>
        </is>
      </c>
      <c r="AM7" t="inlineStr">
        <is>
          <t>40000</t>
        </is>
      </c>
      <c r="AO7" t="inlineStr">
        <is>
          <t>60000</t>
        </is>
      </c>
    </row>
    <row r="8">
      <c r="A8" t="inlineStr">
        <is>
          <t>GRT-007</t>
        </is>
      </c>
      <c r="B8" t="inlineStr">
        <is>
          <t>Regional falls network</t>
        </is>
      </c>
      <c r="C8" t="inlineStr">
        <is>
          <t>FallsNet</t>
        </is>
      </c>
      <c r="F8" t="inlineStr">
        <is>
          <t>Research</t>
        </is>
      </c>
      <c r="G8" t="inlineStr">
        <is>
          <t>Invented project for tests</t>
        </is>
      </c>
      <c r="H8" t="inlineStr">
        <is>
          <t>Test Fund</t>
        </is>
      </c>
      <c r="I8" t="inlineStr">
        <is>
          <t>Test Group A</t>
        </is>
      </c>
      <c r="J8" t="inlineStr">
        <is>
          <t>Extramural</t>
        </is>
      </c>
      <c r="K8" t="inlineStr">
        <is>
          <t>FallsNet
(Test Fund)</t>
        </is>
      </c>
      <c r="L8" t="inlineStr">
        <is>
          <t>Goh Mei Xin</t>
        </is>
      </c>
      <c r="N8" t="inlineStr">
        <is>
          <t xml:space="preserve">Goh Mei Xin
</t>
        </is>
      </c>
      <c r="O8" t="inlineStr">
        <is>
          <t>Admin Person</t>
        </is>
      </c>
      <c r="P8" t="inlineStr">
        <is>
          <t>RA Person</t>
        </is>
      </c>
      <c r="Q8" s="1" t="n"/>
      <c r="R8" s="1" t="n"/>
      <c r="U8" s="2" t="n">
        <v>90000</v>
      </c>
      <c r="V8" s="2" t="n"/>
      <c r="X8" t="inlineStr">
        <is>
          <t>10%</t>
        </is>
      </c>
      <c r="Y8" t="inlineStr">
        <is>
          <t>Applied (Oversight)</t>
        </is>
      </c>
      <c r="Z8" t="inlineStr">
        <is>
          <t>On track</t>
        </is>
      </c>
      <c r="AA8" t="inlineStr">
        <is>
          <t>-</t>
        </is>
      </c>
      <c r="AE8" t="inlineStr">
        <is>
          <t>CC-TEST</t>
        </is>
      </c>
      <c r="AI8" t="inlineStr">
        <is>
          <t>IOG-TEST</t>
        </is>
      </c>
      <c r="AJ8" t="inlineStr">
        <is>
          <t>IO-TEST-GRT-007</t>
        </is>
      </c>
      <c r="AK8" t="inlineStr">
        <is>
          <t>1 RA</t>
        </is>
      </c>
      <c r="AL8" t="inlineStr">
        <is>
          <t>100000</t>
        </is>
      </c>
      <c r="AM8" t="inlineStr">
        <is>
          <t>40000</t>
        </is>
      </c>
      <c r="AO8" t="inlineStr">
        <is>
          <t>60000</t>
        </is>
      </c>
    </row>
    <row r="9">
      <c r="A9" t="inlineStr">
        <is>
          <t>GRT-008</t>
        </is>
      </c>
      <c r="B9" t="inlineStr">
        <is>
          <t>Orphan project with no dates</t>
        </is>
      </c>
      <c r="C9" t="inlineStr">
        <is>
          <t>Orphan</t>
        </is>
      </c>
      <c r="F9" t="inlineStr">
        <is>
          <t>Research</t>
        </is>
      </c>
      <c r="G9" t="inlineStr">
        <is>
          <t>Invented project for tests</t>
        </is>
      </c>
      <c r="H9" t="inlineStr">
        <is>
          <t>Test Fund</t>
        </is>
      </c>
      <c r="I9" t="inlineStr">
        <is>
          <t>Test Group A</t>
        </is>
      </c>
      <c r="J9" t="inlineStr">
        <is>
          <t>Intramural</t>
        </is>
      </c>
      <c r="K9" t="inlineStr">
        <is>
          <t>Orphan
(Test Fund)</t>
        </is>
      </c>
      <c r="L9" t="inlineStr">
        <is>
          <t>Lee Hui Min</t>
        </is>
      </c>
      <c r="N9" t="inlineStr">
        <is>
          <t xml:space="preserve">Lee Hui Min
</t>
        </is>
      </c>
      <c r="O9" t="inlineStr">
        <is>
          <t>Admin Person</t>
        </is>
      </c>
      <c r="P9" t="inlineStr">
        <is>
          <t>RA Person</t>
        </is>
      </c>
      <c r="Q9" s="1" t="n"/>
      <c r="R9" s="1" t="n"/>
      <c r="U9" s="2" t="n">
        <v>10000</v>
      </c>
      <c r="V9" s="2" t="n"/>
      <c r="X9" t="inlineStr">
        <is>
          <t>10%</t>
        </is>
      </c>
      <c r="Y9" t="inlineStr">
        <is>
          <t>In Progress</t>
        </is>
      </c>
      <c r="Z9" t="inlineStr">
        <is>
          <t>On track</t>
        </is>
      </c>
      <c r="AA9" t="inlineStr">
        <is>
          <t>-</t>
        </is>
      </c>
      <c r="AE9" t="inlineStr">
        <is>
          <t>CC-TEST</t>
        </is>
      </c>
      <c r="AI9" t="inlineStr">
        <is>
          <t>IOG-TEST</t>
        </is>
      </c>
      <c r="AJ9" t="inlineStr">
        <is>
          <t>IO-TEST-GRT-008</t>
        </is>
      </c>
      <c r="AK9" t="inlineStr">
        <is>
          <t>1 RA</t>
        </is>
      </c>
      <c r="AL9" t="inlineStr">
        <is>
          <t>100000</t>
        </is>
      </c>
      <c r="AM9" t="inlineStr">
        <is>
          <t>40000</t>
        </is>
      </c>
      <c r="AO9" t="inlineStr">
        <is>
          <t>60000</t>
        </is>
      </c>
    </row>
    <row r="10">
      <c r="A10" t="inlineStr">
        <is>
          <t>GRT-009</t>
        </is>
      </c>
      <c r="B10" t="inlineStr">
        <is>
          <t>Pressure mapping pilot</t>
        </is>
      </c>
      <c r="C10" t="inlineStr">
        <is>
          <t>PMap</t>
        </is>
      </c>
      <c r="F10" t="inlineStr">
        <is>
          <t>Research</t>
        </is>
      </c>
      <c r="G10" t="inlineStr">
        <is>
          <t>Invented project for tests</t>
        </is>
      </c>
      <c r="H10" t="inlineStr">
        <is>
          <t>Test Fund</t>
        </is>
      </c>
      <c r="I10" t="inlineStr">
        <is>
          <t>Test Group A</t>
        </is>
      </c>
      <c r="J10" t="inlineStr">
        <is>
          <t>Intramural</t>
        </is>
      </c>
      <c r="K10" t="inlineStr">
        <is>
          <t>PMap
(Test Fund)</t>
        </is>
      </c>
      <c r="L10" t="inlineStr">
        <is>
          <t>Lee Hui Min</t>
        </is>
      </c>
      <c r="N10" t="inlineStr">
        <is>
          <t xml:space="preserve">Lee Hui Min
</t>
        </is>
      </c>
      <c r="O10" t="inlineStr">
        <is>
          <t>Admin Person</t>
        </is>
      </c>
      <c r="P10" t="inlineStr">
        <is>
          <t>RA Person</t>
        </is>
      </c>
      <c r="Q10" s="1" t="n">
        <v>45352</v>
      </c>
      <c r="R10" s="1" t="n">
        <v>45658</v>
      </c>
      <c r="U10" s="2" t="n">
        <v>30000</v>
      </c>
      <c r="V10" s="2" t="n">
        <v>30000</v>
      </c>
      <c r="X10" t="inlineStr">
        <is>
          <t>10%</t>
        </is>
      </c>
      <c r="Y10" t="inlineStr">
        <is>
          <t>Completed</t>
        </is>
      </c>
      <c r="Z10" t="inlineStr">
        <is>
          <t>On track</t>
        </is>
      </c>
      <c r="AA10" t="inlineStr">
        <is>
          <t>-</t>
        </is>
      </c>
      <c r="AE10" t="inlineStr">
        <is>
          <t>CC-TEST</t>
        </is>
      </c>
      <c r="AI10" t="inlineStr">
        <is>
          <t>IOG-TEST</t>
        </is>
      </c>
      <c r="AJ10" t="inlineStr">
        <is>
          <t>IO-TEST-GRT-009</t>
        </is>
      </c>
      <c r="AK10" t="inlineStr">
        <is>
          <t>1 RA</t>
        </is>
      </c>
      <c r="AL10" t="inlineStr">
        <is>
          <t>100000</t>
        </is>
      </c>
      <c r="AM10" t="inlineStr">
        <is>
          <t>40000</t>
        </is>
      </c>
      <c r="AO10" t="inlineStr">
        <is>
          <t>60000</t>
        </is>
      </c>
    </row>
  </sheetData>
  <dataValidations count="1">
    <dataValidation sqref="Y2:Y10" showDropDown="0" showInputMessage="0" showErrorMessage="0" allowBlank="1" type="list">
      <formula1>list_PrjStatus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Gantt chart (team only)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Start</t>
        </is>
      </c>
    </row>
    <row r="2">
      <c r="A2" t="inlineStr">
        <is>
          <t>Plan</t>
        </is>
      </c>
      <c r="B2" s="3" t="n">
        <v>45658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Monthly 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Project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M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Date/Year/Period</t>
        </is>
      </c>
      <c r="C1" t="inlineStr">
        <is>
          <t>Year</t>
        </is>
      </c>
      <c r="D1" t="inlineStr">
        <is>
          <t>Type of Material/Event</t>
        </is>
      </c>
      <c r="E1" t="inlineStr">
        <is>
          <t>Area(s) of Focus (Professional vs Patients/Care Givers/General Public)</t>
        </is>
      </c>
      <c r="F1" t="inlineStr">
        <is>
          <t>Title of Course/Educational Materials/Educational Events/Outreach</t>
        </is>
      </c>
      <c r="G1" t="inlineStr">
        <is>
          <t>Family Group</t>
        </is>
      </c>
      <c r="H1" t="inlineStr">
        <is>
          <t xml:space="preserve">Trainer(s)/Speaker(s) </t>
        </is>
      </c>
      <c r="I1" t="inlineStr">
        <is>
          <t>Collaboration Partner(s), if any</t>
        </is>
      </c>
      <c r="J1" t="inlineStr">
        <is>
          <t>Number of Participants, if applicable</t>
        </is>
      </c>
      <c r="K1" t="inlineStr">
        <is>
          <t>Local/Overseas</t>
        </is>
      </c>
      <c r="L1" t="inlineStr">
        <is>
          <t>Country (if overseas)</t>
        </is>
      </c>
      <c r="M1" t="inlineStr">
        <is>
          <t>Organisers</t>
        </is>
      </c>
    </row>
    <row r="2">
      <c r="B2" s="3" t="n">
        <v>45731</v>
      </c>
      <c r="C2" t="n">
        <v>2025</v>
      </c>
      <c r="D2" t="inlineStr">
        <is>
          <t>Workshop/Masterclass</t>
        </is>
      </c>
      <c r="E2" t="inlineStr">
        <is>
          <t>Professional</t>
        </is>
      </c>
      <c r="F2" t="inlineStr">
        <is>
          <t>Spasticity management workshop</t>
        </is>
      </c>
      <c r="H2" t="inlineStr">
        <is>
          <t>Tan Wei Ling</t>
        </is>
      </c>
      <c r="I2" t="inlineStr">
        <is>
          <t>Test Hospital</t>
        </is>
      </c>
      <c r="J2" t="n">
        <v>40</v>
      </c>
      <c r="K2" t="inlineStr">
        <is>
          <t>Local</t>
        </is>
      </c>
      <c r="L2" t="inlineStr">
        <is>
          <t>Singapore</t>
        </is>
      </c>
      <c r="M2" t="inlineStr">
        <is>
          <t>Rehab Dept</t>
        </is>
      </c>
    </row>
    <row r="3">
      <c r="B3" s="3" t="n">
        <v>45545</v>
      </c>
      <c r="C3" t="n">
        <v>2024</v>
      </c>
      <c r="D3" t="inlineStr">
        <is>
          <t>Webinar</t>
        </is>
      </c>
      <c r="E3" t="inlineStr">
        <is>
          <t>Patients/Care Givers/General Public</t>
        </is>
      </c>
      <c r="F3" t="inlineStr">
        <is>
          <t>Living with stroke webinar</t>
        </is>
      </c>
      <c r="H3" t="inlineStr">
        <is>
          <t>Goh Mei Xin</t>
        </is>
      </c>
      <c r="I3" t="inlineStr">
        <is>
          <t>Test Hospital</t>
        </is>
      </c>
      <c r="J3" t="n">
        <v>120</v>
      </c>
      <c r="K3" t="inlineStr">
        <is>
          <t>Local</t>
        </is>
      </c>
      <c r="L3" t="inlineStr">
        <is>
          <t>Singapore</t>
        </is>
      </c>
    </row>
    <row r="4">
      <c r="B4" s="3" t="n">
        <v>45839</v>
      </c>
      <c r="D4" t="inlineStr">
        <is>
          <t>Webinar</t>
        </is>
      </c>
      <c r="E4" t="inlineStr">
        <is>
          <t>Professional</t>
        </is>
      </c>
      <c r="F4" t="inlineStr">
        <is>
          <t>Pressure injury prevention webinar</t>
        </is>
      </c>
      <c r="H4" t="inlineStr">
        <is>
          <t>Lee Hui Min</t>
        </is>
      </c>
      <c r="I4" t="inlineStr">
        <is>
          <t>Test Hospital</t>
        </is>
      </c>
      <c r="J4" t="n">
        <v>60</v>
      </c>
      <c r="K4" t="inlineStr">
        <is>
          <t>Local</t>
        </is>
      </c>
      <c r="L4" t="inlineStr">
        <is>
          <t>Singapore</t>
        </is>
      </c>
    </row>
    <row r="5">
      <c r="B5" s="3" t="n">
        <v>45474</v>
      </c>
      <c r="D5" t="inlineStr">
        <is>
          <t>Webinar</t>
        </is>
      </c>
      <c r="E5" t="inlineStr">
        <is>
          <t>Professional</t>
        </is>
      </c>
      <c r="F5" t="inlineStr">
        <is>
          <t>Seating clinic update</t>
        </is>
      </c>
      <c r="H5" t="inlineStr">
        <is>
          <t>Raj Kumar</t>
        </is>
      </c>
      <c r="I5" t="inlineStr">
        <is>
          <t>Test Hospital</t>
        </is>
      </c>
      <c r="J5" t="n">
        <v>30</v>
      </c>
      <c r="K5" t="inlineStr">
        <is>
          <t>Local</t>
        </is>
      </c>
      <c r="L5" t="inlineStr">
        <is>
          <t>Singapore</t>
        </is>
      </c>
    </row>
    <row r="6">
      <c r="C6" t="n">
        <v>2025</v>
      </c>
      <c r="D6" t="inlineStr">
        <is>
          <t>Presentation/Sharing</t>
        </is>
      </c>
      <c r="E6" t="inlineStr">
        <is>
          <t>Professional</t>
        </is>
      </c>
      <c r="F6" t="inlineStr">
        <is>
          <t>Caregiver training sharing</t>
        </is>
      </c>
      <c r="H6" t="inlineStr">
        <is>
          <t>Goh Mei Xin</t>
        </is>
      </c>
      <c r="I6" t="inlineStr">
        <is>
          <t>Test Hospital</t>
        </is>
      </c>
      <c r="K6" t="inlineStr">
        <is>
          <t>Local</t>
        </is>
      </c>
      <c r="L6" t="inlineStr">
        <is>
          <t>Singapore</t>
        </is>
      </c>
    </row>
    <row r="7">
      <c r="B7" t="inlineStr">
        <is>
          <t>25 &amp; 26 Feb 25</t>
        </is>
      </c>
      <c r="D7" t="inlineStr">
        <is>
          <t>Workshop/Masterclass</t>
        </is>
      </c>
      <c r="E7" t="inlineStr">
        <is>
          <t>Professional</t>
        </is>
      </c>
      <c r="F7" t="inlineStr">
        <is>
          <t>Hand therapy splinting course</t>
        </is>
      </c>
      <c r="H7" t="inlineStr">
        <is>
          <t>Tan Wei Ling</t>
        </is>
      </c>
      <c r="I7" t="inlineStr">
        <is>
          <t>Test Hospital</t>
        </is>
      </c>
      <c r="J7" t="n">
        <v>25</v>
      </c>
      <c r="K7" t="inlineStr">
        <is>
          <t>Local</t>
        </is>
      </c>
      <c r="L7" t="inlineStr">
        <is>
          <t>Singapore</t>
        </is>
      </c>
    </row>
    <row r="13">
      <c r="B13" s="4" t="inlineStr">
        <is>
          <t>PARTNER PROGRAMME</t>
        </is>
      </c>
    </row>
    <row r="14">
      <c r="B14" s="3" t="n">
        <v>45887</v>
      </c>
      <c r="C14" t="n">
        <v>2025</v>
      </c>
      <c r="D14" t="inlineStr">
        <is>
          <t>Workshop/Masterclass</t>
        </is>
      </c>
      <c r="E14" t="inlineStr">
        <is>
          <t>Professional</t>
        </is>
      </c>
      <c r="F14" t="inlineStr">
        <is>
          <t>Community rehab workshop</t>
        </is>
      </c>
      <c r="H14" t="inlineStr">
        <is>
          <t>Raj Kumar</t>
        </is>
      </c>
      <c r="I14" t="inlineStr">
        <is>
          <t>Test Partner</t>
        </is>
      </c>
      <c r="J14" t="n">
        <v>35</v>
      </c>
      <c r="K14" t="inlineStr">
        <is>
          <t>Local</t>
        </is>
      </c>
      <c r="L14" t="inlineStr">
        <is>
          <t>Singapore</t>
        </is>
      </c>
    </row>
    <row r="15">
      <c r="B15" s="3" t="n">
        <v>44791</v>
      </c>
      <c r="C15" t="n">
        <v>2022</v>
      </c>
      <c r="D15" t="inlineStr">
        <is>
          <t>Workshop/Masterclass</t>
        </is>
      </c>
      <c r="E15" t="inlineStr">
        <is>
          <t>Professional</t>
        </is>
      </c>
      <c r="F15" t="inlineStr">
        <is>
          <t>Old outreach talk</t>
        </is>
      </c>
      <c r="H15" t="inlineStr">
        <is>
          <t>Raj Kumar</t>
        </is>
      </c>
      <c r="I15" t="inlineStr">
        <is>
          <t>Test Partner</t>
        </is>
      </c>
      <c r="J15" t="n">
        <v>20</v>
      </c>
      <c r="K15" t="inlineStr">
        <is>
          <t>Local</t>
        </is>
      </c>
      <c r="L15" t="inlineStr">
        <is>
          <t>Singapore</t>
        </is>
      </c>
    </row>
  </sheetData>
  <dataValidations count="3">
    <dataValidation sqref="D2:D15" showDropDown="0" showInputMessage="0" showErrorMessage="0" allowBlank="1" type="list">
      <formula1>"Workshop/Masterclass, Webinar, Presentation/Sharing"</formula1>
    </dataValidation>
    <dataValidation sqref="E2:E15" showDropDown="0" showInputMessage="0" showErrorMessage="0" allowBlank="1" type="list">
      <formula1>"Professional, Patients/Care Givers/General Public"</formula1>
    </dataValidation>
    <dataValidation sqref="K2:K15" showDropDown="0" showInputMessage="0" showErrorMessage="0" allowBlank="1" type="list">
      <formula1>"Local, Overseas"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Name</t>
        </is>
      </c>
      <c r="B1" t="inlineStr">
        <is>
          <t>Abbreviated Journal</t>
        </is>
      </c>
      <c r="C1" t="inlineStr">
        <is>
          <t>Percentile</t>
        </is>
      </c>
    </row>
    <row r="2">
      <c r="A2" t="inlineStr">
        <is>
          <t>Journal of Test Rehabilitation</t>
        </is>
      </c>
      <c r="B2" t="inlineStr">
        <is>
          <t>J Test Rehabil</t>
        </is>
      </c>
      <c r="C2" t="n">
        <v>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M6"/>
  <sheetViews>
    <sheetView workbookViewId="0">
      <selection activeCell="A1" sqref="A1"/>
    </sheetView>
  </sheetViews>
  <sheetFormatPr baseColWidth="8" defaultRowHeight="15"/>
  <cols>
    <col hidden="1" width="13" customWidth="1" min="9" max="9"/>
  </cols>
  <sheetData>
    <row r="1">
      <c r="B1" t="inlineStr">
        <is>
          <t>No.</t>
        </is>
      </c>
      <c r="C1" t="inlineStr">
        <is>
          <t xml:space="preserve">Title of Presentation/Topic
</t>
        </is>
      </c>
      <c r="D1" t="inlineStr">
        <is>
          <t xml:space="preserve">Full Name </t>
        </is>
      </c>
      <c r="E1" t="inlineStr">
        <is>
          <t>Status</t>
        </is>
      </c>
      <c r="F1" t="inlineStr">
        <is>
          <t>Date of Presentation</t>
        </is>
      </c>
      <c r="G1" t="inlineStr">
        <is>
          <t>Start Date of Event</t>
        </is>
      </c>
      <c r="H1" t="inlineStr">
        <is>
          <t>End Date of Event</t>
        </is>
      </c>
      <c r="I1" t="inlineStr">
        <is>
          <t>Title of  Related Research, Innovation Projects /Programmes</t>
        </is>
      </c>
      <c r="J1" t="inlineStr">
        <is>
          <t>Name of Conference/ Symposium/ Seminar</t>
        </is>
      </c>
      <c r="K1" t="inlineStr">
        <is>
          <t>Name of Organisation</t>
        </is>
      </c>
      <c r="L1" t="inlineStr">
        <is>
          <t>Country where the conference/sympoisum/Seminar was held</t>
        </is>
      </c>
      <c r="M1" t="inlineStr">
        <is>
          <t>Other Remarks</t>
        </is>
      </c>
    </row>
    <row r="2">
      <c r="B2">
        <f>IF(INDEX(B:B,ROW()-1)="No.",1,INDEX(B:B,ROW()-1)+1)</f>
        <v/>
      </c>
      <c r="C2" t="inlineStr">
        <is>
          <t>Early mobilisation in intensive care</t>
        </is>
      </c>
      <c r="D2" t="inlineStr">
        <is>
          <t>Tan Wei Ling</t>
        </is>
      </c>
      <c r="E2" t="inlineStr">
        <is>
          <t>Presented</t>
        </is>
      </c>
      <c r="F2" s="3" t="n">
        <v>45797</v>
      </c>
      <c r="G2" s="3" t="n">
        <v>45796</v>
      </c>
      <c r="H2" s="3" t="n">
        <v>45798</v>
      </c>
      <c r="J2" t="inlineStr">
        <is>
          <t>Test Rehab Congress 2025</t>
        </is>
      </c>
      <c r="L2" t="inlineStr">
        <is>
          <t>Singapore</t>
        </is>
      </c>
    </row>
    <row r="3">
      <c r="B3">
        <f>IF(INDEX(B:B,ROW()-1)="No.",1,INDEX(B:B,ROW()-1)+1)</f>
        <v/>
      </c>
      <c r="C3" t="inlineStr">
        <is>
          <t>Wheelchair skills training</t>
        </is>
      </c>
      <c r="D3" t="inlineStr">
        <is>
          <t>Goh Mei Xin</t>
        </is>
      </c>
      <c r="E3" t="inlineStr">
        <is>
          <t>Accepted</t>
        </is>
      </c>
      <c r="F3" s="3" t="n">
        <v>45933</v>
      </c>
      <c r="G3" s="3" t="n">
        <v>45932</v>
      </c>
      <c r="H3" t="inlineStr">
        <is>
          <t>(blank)</t>
        </is>
      </c>
      <c r="J3" t="inlineStr">
        <is>
          <t>Test Seating Symposium</t>
        </is>
      </c>
    </row>
    <row r="4">
      <c r="B4">
        <f>IF(INDEX(B:B,ROW()-1)="No.",1,INDEX(B:B,ROW()-1)+1)</f>
        <v/>
      </c>
      <c r="C4" t="inlineStr">
        <is>
          <t>Pain coping strategies</t>
        </is>
      </c>
      <c r="D4" t="inlineStr">
        <is>
          <t>Raj Kumar</t>
        </is>
      </c>
      <c r="E4" t="inlineStr">
        <is>
          <t>Presented</t>
        </is>
      </c>
      <c r="F4" s="3" t="n">
        <v>45139</v>
      </c>
      <c r="G4" s="3" t="n">
        <v>45139</v>
      </c>
      <c r="H4" s="3" t="n">
        <v>45140</v>
      </c>
      <c r="J4" t="inlineStr">
        <is>
          <t>Test Pain Meeting</t>
        </is>
      </c>
    </row>
    <row r="5">
      <c r="B5">
        <f>IF(INDEX(B:B,ROW()-1)="No.",1,INDEX(B:B,ROW()-1)+1)</f>
        <v/>
      </c>
      <c r="C5" t="inlineStr">
        <is>
          <t>Virtual reality balance training for older adults</t>
        </is>
      </c>
      <c r="D5" t="inlineStr">
        <is>
          <t>Raj Kumar</t>
        </is>
      </c>
      <c r="E5" t="inlineStr">
        <is>
          <t>Presented</t>
        </is>
      </c>
      <c r="F5" s="3" t="n">
        <v>45702</v>
      </c>
      <c r="G5" s="3" t="n">
        <v>45701</v>
      </c>
      <c r="H5" s="3" t="n">
        <v>45703</v>
      </c>
      <c r="I5" t="inlineStr">
        <is>
          <t>VR Balance</t>
        </is>
      </c>
      <c r="J5" t="inlineStr">
        <is>
          <t>Test Falls Forum</t>
        </is>
      </c>
      <c r="L5" t="inlineStr">
        <is>
          <t>Singapore</t>
        </is>
      </c>
    </row>
    <row r="6">
      <c r="C6" t="inlineStr">
        <is>
          <t>Return to work after stroke</t>
        </is>
      </c>
      <c r="D6" t="inlineStr">
        <is>
          <t>Lee Hui Min</t>
        </is>
      </c>
      <c r="E6" t="inlineStr">
        <is>
          <t>Presented</t>
        </is>
      </c>
      <c r="F6" s="3" t="n">
        <v>44686</v>
      </c>
      <c r="G6" s="3" t="n">
        <v>44686</v>
      </c>
      <c r="H6" s="3" t="n">
        <v>44687</v>
      </c>
      <c r="J6" t="inlineStr">
        <is>
          <t>Test Work Rehab Day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S10"/>
  <sheetViews>
    <sheetView workbookViewId="0">
      <selection activeCell="A1" sqref="A1"/>
    </sheetView>
  </sheetViews>
  <sheetFormatPr baseColWidth="8" defaultRowHeight="15"/>
  <cols>
    <col width="51" customWidth="1" min="3" max="3"/>
    <col hidden="1" width="13" customWidth="1" min="10" max="10"/>
    <col hidden="1" width="13" customWidth="1" min="11" max="11"/>
    <col hidden="1" width="13" customWidth="1" min="13" max="13"/>
    <col hidden="1" width="13" customWidth="1" min="14" max="14"/>
  </cols>
  <sheetData>
    <row r="1">
      <c r="O1" t="inlineStr">
        <is>
          <t>Input Start Year</t>
        </is>
      </c>
      <c r="P1" t="n">
        <v>2025</v>
      </c>
      <c r="Q1">
        <f>"Top 25% Count: "&amp;COUNTIF(Q4:Q20,"&gt;=75")</f>
        <v/>
      </c>
    </row>
    <row r="2">
      <c r="O2" t="inlineStr">
        <is>
          <t>Input End Year</t>
        </is>
      </c>
      <c r="P2" t="n">
        <v>2025</v>
      </c>
      <c r="Q2">
        <f>"Top 10% Count: "&amp;COUNTIF(Q4:Q20,"&gt;=90")</f>
        <v/>
      </c>
    </row>
    <row r="3">
      <c r="B3" t="inlineStr">
        <is>
          <t>No.</t>
        </is>
      </c>
      <c r="C3" t="inlineStr">
        <is>
          <t>Title of Article</t>
        </is>
      </c>
      <c r="D3" t="inlineStr">
        <is>
          <t>1st Author Name</t>
        </is>
      </c>
      <c r="E3" t="inlineStr">
        <is>
          <t xml:space="preserve">TTSH Contributor </t>
        </is>
      </c>
      <c r="F3" t="inlineStr">
        <is>
          <t>Status</t>
        </is>
      </c>
      <c r="G3" t="inlineStr">
        <is>
          <t xml:space="preserve">Date of Publication
</t>
        </is>
      </c>
      <c r="H3" t="inlineStr">
        <is>
          <t>pmid</t>
        </is>
      </c>
      <c r="I3" t="inlineStr">
        <is>
          <t>Journal Citation</t>
        </is>
      </c>
      <c r="J3" t="inlineStr">
        <is>
          <t>Associated Research/Innovation Project (If applicable)</t>
        </is>
      </c>
      <c r="K3" t="inlineStr">
        <is>
          <t>Full Author Listing (Optional)</t>
        </is>
      </c>
      <c r="L3" t="inlineStr">
        <is>
          <t>DOI</t>
        </is>
      </c>
      <c r="M3" t="inlineStr">
        <is>
          <t>Category of Article</t>
        </is>
      </c>
      <c r="N3" t="inlineStr">
        <is>
          <t>Other Remarks</t>
        </is>
      </c>
      <c r="O3" t="inlineStr">
        <is>
          <t>Journal Name</t>
        </is>
      </c>
      <c r="P3" t="inlineStr">
        <is>
          <t>Journal Category &amp; JIF Percentile Listing 
(2025)</t>
        </is>
      </c>
      <c r="Q3" t="inlineStr">
        <is>
          <t>JIF Percentile 
(2025)</t>
        </is>
      </c>
      <c r="R3" t="inlineStr">
        <is>
          <t>Journal Category &amp; JIF Percentile Listing 
(2026)</t>
        </is>
      </c>
      <c r="S3" t="inlineStr">
        <is>
          <t>JIF Percentile 
(2026)</t>
        </is>
      </c>
    </row>
    <row r="4">
      <c r="B4">
        <f>IF(INDEX(B:B,ROW()-1)="No.",1,INDEX(B:B,ROW()-1)+1)</f>
        <v/>
      </c>
      <c r="C4" t="inlineStr">
        <is>
          <t>Robotic gait training after stroke: a pilot study</t>
        </is>
      </c>
      <c r="D4" t="inlineStr">
        <is>
          <t>Lim A</t>
        </is>
      </c>
      <c r="E4" t="inlineStr">
        <is>
          <t>Tan Wei Ling
Goh Mei Xin</t>
        </is>
      </c>
      <c r="F4" t="inlineStr">
        <is>
          <t>Published</t>
        </is>
      </c>
      <c r="G4" s="5" t="n">
        <v>45726</v>
      </c>
      <c r="H4" t="n">
        <v>39000001</v>
      </c>
      <c r="I4" t="inlineStr">
        <is>
          <t>J Test Rehabil. 2025;1:1-9</t>
        </is>
      </c>
      <c r="L4" t="inlineStr">
        <is>
          <t>10.1000/test.0001</t>
        </is>
      </c>
      <c r="M4" t="inlineStr">
        <is>
          <t>Original Research Paper</t>
        </is>
      </c>
      <c r="O4" t="inlineStr">
        <is>
          <t>Journal of Test Rehabilitation</t>
        </is>
      </c>
      <c r="P4" t="inlineStr">
        <is>
          <t>REHABILITATION (80%)</t>
        </is>
      </c>
      <c r="Q4" t="n">
        <v>80</v>
      </c>
      <c r="R4" t="inlineStr">
        <is>
          <t>REHABILITATION (82%)</t>
        </is>
      </c>
      <c r="S4" t="n">
        <v>82</v>
      </c>
    </row>
    <row r="5">
      <c r="B5">
        <f>IF(INDEX(B:B,ROW()-1)="No.",1,INDEX(B:B,ROW()-1)+1)</f>
        <v/>
      </c>
      <c r="C5" t="inlineStr">
        <is>
          <t>Falls prevention in the community</t>
        </is>
      </c>
      <c r="D5" t="inlineStr">
        <is>
          <t>Ho B</t>
        </is>
      </c>
      <c r="E5" t="inlineStr">
        <is>
          <t>Raj Kumar</t>
        </is>
      </c>
      <c r="F5" t="inlineStr">
        <is>
          <t>Published</t>
        </is>
      </c>
      <c r="G5" s="5" t="n">
        <v>45598</v>
      </c>
      <c r="H5" t="n">
        <v>39000002</v>
      </c>
      <c r="I5" t="inlineStr">
        <is>
          <t>Test Geriatr J. 2024;3:4-8</t>
        </is>
      </c>
      <c r="O5" t="inlineStr">
        <is>
          <t>Test Geriatrics Journal</t>
        </is>
      </c>
      <c r="P5" t="inlineStr">
        <is>
          <t>GERIATRICS (55%)</t>
        </is>
      </c>
      <c r="Q5" t="n">
        <v>55</v>
      </c>
      <c r="R5" t="inlineStr">
        <is>
          <t>-</t>
        </is>
      </c>
    </row>
    <row r="6">
      <c r="B6">
        <f>IF(INDEX(B:B,ROW()-1)="No.",1,INDEX(B:B,ROW()-1)+1)</f>
        <v/>
      </c>
      <c r="C6" t="inlineStr">
        <is>
          <t>Spasticity outcomes after botulinum toxin</t>
        </is>
      </c>
      <c r="D6" t="inlineStr">
        <is>
          <t>Tan Wei Ling</t>
        </is>
      </c>
      <c r="E6" t="inlineStr">
        <is>
          <t>Tan Wei Ling</t>
        </is>
      </c>
      <c r="F6" t="inlineStr">
        <is>
          <t>Published</t>
        </is>
      </c>
      <c r="G6" s="5" t="inlineStr">
        <is>
          <t>20 Aug 25</t>
        </is>
      </c>
      <c r="H6" t="n">
        <v>39000003</v>
      </c>
      <c r="I6" t="inlineStr">
        <is>
          <t>Test Neuro Rehab. 2025;2:10-19</t>
        </is>
      </c>
      <c r="M6" t="inlineStr">
        <is>
          <t>Original Research Paper</t>
        </is>
      </c>
      <c r="O6" t="inlineStr">
        <is>
          <t>Test Neuro Rehab</t>
        </is>
      </c>
      <c r="P6" t="inlineStr">
        <is>
          <t>NEUROSCIENCES (60%)</t>
        </is>
      </c>
      <c r="Q6" t="n">
        <v>60</v>
      </c>
      <c r="R6" t="inlineStr">
        <is>
          <t>-</t>
        </is>
      </c>
    </row>
    <row r="7">
      <c r="B7">
        <f>IF(INDEX(B:B,ROW()-1)="No.",1,INDEX(B:B,ROW()-1)+1)</f>
        <v/>
      </c>
      <c r="C7" t="inlineStr">
        <is>
          <t>Caregiver burden in spinal cord injury</t>
        </is>
      </c>
      <c r="D7" t="inlineStr">
        <is>
          <t>Goh Mei Xin</t>
        </is>
      </c>
      <c r="E7" t="inlineStr">
        <is>
          <t>Goh Mei Xin</t>
        </is>
      </c>
      <c r="F7" t="inlineStr">
        <is>
          <t>Accepted</t>
        </is>
      </c>
      <c r="G7" s="5" t="inlineStr">
        <is>
          <t>(blank)</t>
        </is>
      </c>
      <c r="H7" t="inlineStr">
        <is>
          <t>-</t>
        </is>
      </c>
      <c r="I7" t="inlineStr">
        <is>
          <t>Test SCI J. In press</t>
        </is>
      </c>
      <c r="O7" t="inlineStr">
        <is>
          <t>Test SCI Journal</t>
        </is>
      </c>
      <c r="P7" t="inlineStr">
        <is>
          <t>-</t>
        </is>
      </c>
      <c r="R7" t="inlineStr">
        <is>
          <t>-</t>
        </is>
      </c>
    </row>
    <row r="8">
      <c r="B8">
        <f>IF(INDEX(B:B,ROW()-1)="No.",1,INDEX(B:B,ROW()-1)+1)</f>
        <v/>
      </c>
      <c r="C8" t="inlineStr">
        <is>
          <t>Upper limb telerehabilitation</t>
        </is>
      </c>
      <c r="D8" t="inlineStr">
        <is>
          <t>Raj Kumar</t>
        </is>
      </c>
      <c r="E8" t="inlineStr">
        <is>
          <t>Raj Kumar</t>
        </is>
      </c>
      <c r="F8" t="inlineStr">
        <is>
          <t>Published</t>
        </is>
      </c>
      <c r="G8" s="5" t="inlineStr">
        <is>
          <t>45700</t>
        </is>
      </c>
      <c r="H8" t="n">
        <v>39000005</v>
      </c>
      <c r="I8" t="inlineStr">
        <is>
          <t>Test Telehealth. 2025;5:1-5</t>
        </is>
      </c>
      <c r="L8" t="inlineStr">
        <is>
          <t>10.1000/test.0005</t>
        </is>
      </c>
      <c r="O8" t="inlineStr">
        <is>
          <t>Test Telehealth</t>
        </is>
      </c>
      <c r="P8" t="inlineStr">
        <is>
          <t>HEALTH POLICY (40%)</t>
        </is>
      </c>
      <c r="Q8" t="n">
        <v>40</v>
      </c>
      <c r="R8" t="inlineStr">
        <is>
          <t>-</t>
        </is>
      </c>
    </row>
    <row r="9">
      <c r="B9">
        <f>IF(INDEX(B:B,ROW()-1)="No.",1,INDEX(B:B,ROW()-1)+1)</f>
        <v/>
      </c>
      <c r="C9" t="inlineStr">
        <is>
          <t>Dysphagia screening in acute stroke</t>
        </is>
      </c>
      <c r="D9" t="inlineStr">
        <is>
          <t>Lee Hui Min</t>
        </is>
      </c>
      <c r="E9" t="inlineStr">
        <is>
          <t>Lee Hui Min</t>
        </is>
      </c>
      <c r="F9" t="inlineStr">
        <is>
          <t>Under Review</t>
        </is>
      </c>
      <c r="G9" s="5" t="n">
        <v>45809</v>
      </c>
      <c r="O9" t="inlineStr">
        <is>
          <t>Test Stroke Journal</t>
        </is>
      </c>
      <c r="P9" t="inlineStr">
        <is>
          <t>-</t>
        </is>
      </c>
      <c r="R9" t="inlineStr">
        <is>
          <t>-</t>
        </is>
      </c>
    </row>
    <row r="10">
      <c r="B10">
        <f>IF(INDEX(B:B,ROW()-1)="No.",1,INDEX(B:B,ROW()-1)+1)</f>
        <v/>
      </c>
      <c r="C10" t="inlineStr">
        <is>
          <t>Cognitive rehabilitation trial protocol</t>
        </is>
      </c>
      <c r="D10" t="inlineStr">
        <is>
          <t>Ong C</t>
        </is>
      </c>
      <c r="E10" t="inlineStr">
        <is>
          <t>Tan Wei Ling</t>
        </is>
      </c>
      <c r="F10" t="inlineStr">
        <is>
          <t>Accepted</t>
        </is>
      </c>
      <c r="G10" s="5" t="n">
        <v>46027</v>
      </c>
      <c r="I10" t="inlineStr">
        <is>
          <t>Test Trials. 2026</t>
        </is>
      </c>
      <c r="O10" t="inlineStr">
        <is>
          <t>Test Trials</t>
        </is>
      </c>
      <c r="P10" t="inlineStr">
        <is>
          <t>-</t>
        </is>
      </c>
      <c r="R10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No.</t>
        </is>
      </c>
      <c r="C1" t="inlineStr">
        <is>
          <t>Full name</t>
        </is>
      </c>
      <c r="D1" t="inlineStr">
        <is>
          <t xml:space="preserve">Platform of Media
</t>
        </is>
      </c>
      <c r="E1" t="inlineStr">
        <is>
          <t xml:space="preserve">Media Publishing Date 
</t>
        </is>
      </c>
      <c r="F1" t="inlineStr">
        <is>
          <t>Title of Media Published &amp; Description 
(Briefly provide the description and or purpose of the published media)</t>
        </is>
      </c>
      <c r="G1" t="inlineStr">
        <is>
          <t xml:space="preserve">Name of Media Published Source 
(For eg The Straits Times or online eg ChannelnewsAsia.com) 
</t>
        </is>
      </c>
      <c r="H1" t="inlineStr">
        <is>
          <t xml:space="preserve">Website link to media/ Source
(If applicable)
</t>
        </is>
      </c>
      <c r="I1" t="inlineStr">
        <is>
          <t>Associated Project Title 
(If applicable)</t>
        </is>
      </c>
      <c r="J1" t="inlineStr">
        <is>
          <t>Other Remarks</t>
        </is>
      </c>
    </row>
    <row r="2">
      <c r="B2">
        <f>IF(INDEX(B:B,ROW()-1)="No.",1,INDEX(B:B,ROW()-1)+1)</f>
        <v/>
      </c>
      <c r="C2" t="inlineStr">
        <is>
          <t>Stroke Rehab Programme</t>
        </is>
      </c>
      <c r="D2" t="inlineStr">
        <is>
          <t>Digital News (Online articles, etc)</t>
        </is>
      </c>
      <c r="E2" s="3" t="n">
        <v>45748</v>
      </c>
      <c r="F2" t="inlineStr">
        <is>
          <t>New stroke rehab centre opens</t>
        </is>
      </c>
      <c r="G2" t="inlineStr">
        <is>
          <t>The Test Times</t>
        </is>
      </c>
      <c r="H2" t="inlineStr">
        <is>
          <t>https://example.com/a</t>
        </is>
      </c>
    </row>
    <row r="3">
      <c r="B3">
        <f>IF(INDEX(B:B,ROW()-1)="No.",1,INDEX(B:B,ROW()-1)+1)</f>
        <v/>
      </c>
      <c r="C3" t="inlineStr">
        <is>
          <t>Stroke Rehab Programme</t>
        </is>
      </c>
      <c r="D3" t="inlineStr">
        <is>
          <t>Newspaper</t>
        </is>
      </c>
      <c r="E3" s="3" t="n">
        <v>45748</v>
      </c>
      <c r="F3" t="inlineStr">
        <is>
          <t>New stroke rehab centre opens</t>
        </is>
      </c>
      <c r="G3" t="inlineStr">
        <is>
          <t>The Test Times Print</t>
        </is>
      </c>
    </row>
    <row r="4">
      <c r="B4">
        <f>IF(INDEX(B:B,ROW()-1)="No.",1,INDEX(B:B,ROW()-1)+1)</f>
        <v/>
      </c>
      <c r="C4" t="inlineStr">
        <is>
          <t>Stroke Rehab Programme</t>
        </is>
      </c>
      <c r="D4" t="inlineStr">
        <is>
          <t>Radio</t>
        </is>
      </c>
      <c r="E4" s="3" t="n">
        <v>45749</v>
      </c>
      <c r="F4" t="inlineStr">
        <is>
          <t>New stroke rehab centre opens</t>
        </is>
      </c>
      <c r="G4" t="inlineStr">
        <is>
          <t>Test Radio 99</t>
        </is>
      </c>
      <c r="H4" t="inlineStr">
        <is>
          <t>https://example.com/radio</t>
        </is>
      </c>
    </row>
    <row r="5">
      <c r="B5">
        <f>IF(INDEX(B:B,ROW()-1)="No.",1,INDEX(B:B,ROW()-1)+1)</f>
        <v/>
      </c>
      <c r="C5" t="inlineStr">
        <is>
          <t>Tan Wei Ling</t>
        </is>
      </c>
      <c r="D5" t="inlineStr">
        <is>
          <t>Social Media</t>
        </is>
      </c>
      <c r="E5" s="3" t="n">
        <v>45627</v>
      </c>
      <c r="F5" t="inlineStr">
        <is>
          <t>Therapy tips video</t>
        </is>
      </c>
      <c r="G5" t="inlineStr">
        <is>
          <t>TestTube</t>
        </is>
      </c>
      <c r="H5" t="inlineStr">
        <is>
          <t>https://example.com/v</t>
        </is>
      </c>
    </row>
    <row r="6">
      <c r="B6">
        <f>IF(INDEX(B:B,ROW()-1)="No.",1,INDEX(B:B,ROW()-1)+1)</f>
        <v/>
      </c>
      <c r="C6" t="inlineStr">
        <is>
          <t>Goh Mei Xin</t>
        </is>
      </c>
      <c r="D6" t="inlineStr">
        <is>
          <t>Websites &amp; Blogs</t>
        </is>
      </c>
      <c r="E6" t="inlineStr">
        <is>
          <t>Nov 26(KIV)</t>
        </is>
      </c>
      <c r="F6" t="inlineStr">
        <is>
          <t>Living well after spinal cord injury</t>
        </is>
      </c>
      <c r="G6" t="inlineStr">
        <is>
          <t>Test Blog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N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Family Group</t>
        </is>
      </c>
      <c r="D1" t="inlineStr">
        <is>
          <t>Award Description</t>
        </is>
      </c>
      <c r="E1" t="inlineStr">
        <is>
          <t>Project Name</t>
        </is>
      </c>
      <c r="F1" t="inlineStr">
        <is>
          <t>LOA Start Date</t>
        </is>
      </c>
      <c r="G1" t="inlineStr">
        <is>
          <t>LOA End Date</t>
        </is>
      </c>
      <c r="H1" t="inlineStr">
        <is>
          <t>Grant Amount</t>
        </is>
      </c>
      <c r="I1" t="inlineStr">
        <is>
          <t>Year</t>
        </is>
      </c>
      <c r="J1" t="inlineStr">
        <is>
          <t>Category</t>
        </is>
      </c>
    </row>
    <row r="2">
      <c r="B2" t="inlineStr">
        <is>
          <t>Tan Wei Ling</t>
        </is>
      </c>
      <c r="C2" t="inlineStr">
        <is>
          <t>AHS</t>
        </is>
      </c>
      <c r="D2" t="inlineStr">
        <is>
          <t>Test Fellowship Award</t>
        </is>
      </c>
      <c r="E2" t="inlineStr">
        <is>
          <t>Gait study</t>
        </is>
      </c>
      <c r="F2" s="3" t="n">
        <v>45658</v>
      </c>
      <c r="G2" s="3" t="n">
        <v>46387</v>
      </c>
      <c r="H2" t="n">
        <v>50000</v>
      </c>
      <c r="I2" t="n">
        <v>2025</v>
      </c>
      <c r="J2" t="inlineStr">
        <is>
          <t>Talent Development</t>
        </is>
      </c>
      <c r="L2" t="inlineStr">
        <is>
          <t>Row Labels</t>
        </is>
      </c>
      <c r="M2" t="inlineStr">
        <is>
          <t>Name</t>
        </is>
      </c>
      <c r="N2" t="inlineStr">
        <is>
          <t>Award Description</t>
        </is>
      </c>
    </row>
    <row r="3">
      <c r="B3" t="inlineStr">
        <is>
          <t>Goh Mei Xin</t>
        </is>
      </c>
      <c r="C3" t="inlineStr">
        <is>
          <t>Medical</t>
        </is>
      </c>
      <c r="D3" t="inlineStr">
        <is>
          <t>Test Teaching Award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2025</v>
      </c>
      <c r="J3" t="inlineStr">
        <is>
          <t>Special Award</t>
        </is>
      </c>
      <c r="L3" t="inlineStr">
        <is>
          <t>Special Award</t>
        </is>
      </c>
    </row>
    <row r="4">
      <c r="B4" t="inlineStr">
        <is>
          <t>Raj Kumar</t>
        </is>
      </c>
      <c r="C4" t="inlineStr">
        <is>
          <t>AHS</t>
        </is>
      </c>
      <c r="D4" t="inlineStr">
        <is>
          <t>Test Research Award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2024</v>
      </c>
      <c r="J4" t="inlineStr">
        <is>
          <t>Special Award</t>
        </is>
      </c>
      <c r="L4" t="n">
        <v>2025</v>
      </c>
      <c r="M4" t="inlineStr">
        <is>
          <t>Goh Mei Xin</t>
        </is>
      </c>
      <c r="N4" t="inlineStr">
        <is>
          <t>Test Teaching Award</t>
        </is>
      </c>
    </row>
    <row r="5">
      <c r="B5" t="inlineStr">
        <is>
          <t>Lee Hui Min</t>
        </is>
      </c>
      <c r="C5" t="inlineStr">
        <is>
          <t>Nursing</t>
        </is>
      </c>
      <c r="D5" t="inlineStr">
        <is>
          <t>Test Nursing Award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J5" t="inlineStr">
        <is>
          <t>Special Award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Family Group</t>
        </is>
      </c>
    </row>
    <row r="2">
      <c r="B2" t="inlineStr">
        <is>
          <t>Tan Wei Ling</t>
        </is>
      </c>
      <c r="C2" t="inlineStr">
        <is>
          <t>Rehab AHS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Charts (team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IREx test fixtures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2026-10-30T02:05:19Z</dcterms:modified>
</cp:coreProperties>
</file>